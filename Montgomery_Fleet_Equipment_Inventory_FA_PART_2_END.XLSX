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weke\Downloads\"/>
    </mc:Choice>
  </mc:AlternateContent>
  <xr:revisionPtr revIDLastSave="0" documentId="8_{3C18317A-C561-466D-B587-8C21044CDDE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VOT1" sheetId="2" r:id="rId1"/>
    <sheet name="PIVOT2" sheetId="3" r:id="rId2"/>
    <sheet name="PIVOT3" sheetId="4" r:id="rId3"/>
    <sheet name="Montgomery_Fleet_Equipment_Inve" sheetId="1" r:id="rId4"/>
  </sheets>
  <definedNames>
    <definedName name="_xlnm._FilterDatabase" localSheetId="3" hidden="1">Montgomery_Fleet_Equipment_Inve!$A$1:$C$50</definedName>
  </definedNames>
  <calcPr calcId="191029"/>
  <pivotCaches>
    <pivotCache cacheId="7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5" i="1" l="1"/>
  <c r="C54" i="1"/>
  <c r="C53" i="1"/>
  <c r="C52" i="1"/>
  <c r="C51" i="1"/>
</calcChain>
</file>

<file path=xl/sharedStrings.xml><?xml version="1.0" encoding="utf-8"?>
<sst xmlns="http://schemas.openxmlformats.org/spreadsheetml/2006/main" count="166" uniqueCount="38">
  <si>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</si>
  <si>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</si>
  <si>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</si>
  <si>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</si>
  <si>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</si>
  <si>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</si>
  <si>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</si>
  <si>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</si>
  <si>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</si>
  <si>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</si>
  <si>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</si>
  <si>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</si>
  <si>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</si>
  <si>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</si>
  <si>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</si>
  <si>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</si>
  <si>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</si>
  <si>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</si>
  <si>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</si>
  <si>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</si>
  <si>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</si>
  <si>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</si>
  <si>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</si>
  <si>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</si>
  <si>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</si>
  <si>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</si>
  <si>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</si>
  <si>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</si>
  <si>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</si>
  <si>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Row Labels</t>
  </si>
  <si>
    <t>Grand Total</t>
  </si>
  <si>
    <t>Sum of Equipment Count</t>
  </si>
  <si>
    <t>SUM</t>
  </si>
  <si>
    <t>Column1</t>
  </si>
  <si>
    <t>AVERAGE</t>
  </si>
  <si>
    <t>MIN</t>
  </si>
  <si>
    <t>MAX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</si>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</sst>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inelo Lydia" refreshedDate="45726.637784606479" createdVersion="8" refreshedVersion="8" minRefreshableVersion="3" recordCount="49" xr:uid="{3BB1ABA0-CE08-45A5-B9B8-0A27C0F0FBAB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9BD01F-27FA-4A44-92E3-87B6FBA69EBB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BFE19C-5E22-4B94-B695-59D62D8DC0C0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5" firstHeaderRow="1" firstDataRow="1" firstDataCol="1"/>
  <pivotFields count="3">
    <pivotField axis="axisRow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147A10-81B3-4AF8-A1A0-8CC89A1DA6A5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showAll="0"/>
  </pivotFields>
  <rowFields count="2">
    <field x="1"/>
    <field x="0"/>
  </rowFields>
  <rowItems count="18">
    <i>
      <x/>
    </i>
    <i r="1">
      <x v="5"/>
    </i>
    <i r="1">
      <x v="11"/>
    </i>
    <i r="1">
      <x v="1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DA8935-9384-460E-B665-AB5A2FBB89CB}" name="Table1" displayName="Table1" ref="A1:D51" totalsRowCount="1">
  <autoFilter ref="A1:D50" xr:uid="{87DA8935-9384-460E-B665-AB5A2FBB89CB}"/>
  <tableColumns count="4">
    <tableColumn id="1" xr3:uid="{A1AAD89F-A17C-49C4-B5D3-4B3070E79026}" name="Department"/>
    <tableColumn id="2" xr3:uid="{DF106210-EF5A-4A04-AEAA-B412EAD75061}" name="Equipment Class"/>
    <tableColumn id="3" xr3:uid="{86989A31-E9F6-427A-B561-C3FD83AD721C}" name="Equipment Count" totalsRowFunction="sum"/>
    <tableColumn id="4" xr3:uid="{33C8BB92-1DB3-4F04-BEA5-C28CC3D086D8}" name="Column1" totalsRowLabel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30EFC-85D8-4896-A224-646031B05B00}">
  <dimension ref="A3:B16"/>
  <sheetViews>
    <sheetView tabSelected="1" workbookViewId="0">
      <selection activeCell="B4" sqref="B4"/>
    </sheetView>
  </sheetViews>
  <sheetFormatPr defaultRowHeight="14.5" x14ac:dyDescent="0.35"/>
  <cols>
    <col min="1" max="1" width="27.54296875" bestFit="1" customWidth="1"/>
    <col min="2" max="2" width="22.08984375" bestFit="1" customWidth="1"/>
  </cols>
  <sheetData>
    <row r="3" spans="1:2" x14ac:dyDescent="0.35">
      <c r="A3" s="1" t="s">
        <v>29</v>
      </c>
      <c r="B3" t="s">
        <v>31</v>
      </c>
    </row>
    <row r="4" spans="1:2" x14ac:dyDescent="0.35">
      <c r="A4" s="2" t="s">
        <v>26</v>
      </c>
      <c r="B4">
        <v>1221</v>
      </c>
    </row>
    <row r="5" spans="1:2" x14ac:dyDescent="0.35">
      <c r="A5" s="2" t="s">
        <v>15</v>
      </c>
      <c r="B5">
        <v>109</v>
      </c>
    </row>
    <row r="6" spans="1:2" x14ac:dyDescent="0.35">
      <c r="A6" s="2" t="s">
        <v>19</v>
      </c>
      <c r="B6">
        <v>85</v>
      </c>
    </row>
    <row r="7" spans="1:2" x14ac:dyDescent="0.35">
      <c r="A7" s="2" t="s">
        <v>12</v>
      </c>
      <c r="B7">
        <v>56</v>
      </c>
    </row>
    <row r="8" spans="1:2" x14ac:dyDescent="0.35">
      <c r="A8" s="2" t="s">
        <v>5</v>
      </c>
      <c r="B8">
        <v>45</v>
      </c>
    </row>
    <row r="9" spans="1:2" x14ac:dyDescent="0.35">
      <c r="A9" s="2" t="s">
        <v>18</v>
      </c>
      <c r="B9">
        <v>35</v>
      </c>
    </row>
    <row r="10" spans="1:2" x14ac:dyDescent="0.35">
      <c r="A10" s="2" t="s">
        <v>25</v>
      </c>
      <c r="B10">
        <v>16</v>
      </c>
    </row>
    <row r="11" spans="1:2" x14ac:dyDescent="0.35">
      <c r="A11" s="2" t="s">
        <v>9</v>
      </c>
      <c r="B11">
        <v>6</v>
      </c>
    </row>
    <row r="12" spans="1:2" x14ac:dyDescent="0.35">
      <c r="A12" s="2" t="s">
        <v>24</v>
      </c>
      <c r="B12">
        <v>5</v>
      </c>
    </row>
    <row r="13" spans="1:2" x14ac:dyDescent="0.35">
      <c r="A13" s="2" t="s">
        <v>8</v>
      </c>
      <c r="B13">
        <v>2</v>
      </c>
    </row>
    <row r="14" spans="1:2" x14ac:dyDescent="0.35">
      <c r="A14" s="2" t="s">
        <v>14</v>
      </c>
      <c r="B14">
        <v>1</v>
      </c>
    </row>
    <row r="15" spans="1:2" x14ac:dyDescent="0.35">
      <c r="A15" s="2" t="s">
        <v>17</v>
      </c>
      <c r="B15">
        <v>1</v>
      </c>
    </row>
    <row r="16" spans="1:2" x14ac:dyDescent="0.35">
      <c r="A16" s="2" t="s">
        <v>30</v>
      </c>
      <c r="B16">
        <v>1582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1B565-ED5A-4A87-90C6-47F3B9B04C64}">
  <dimension ref="A3:B25"/>
  <sheetViews>
    <sheetView topLeftCell="A10" workbookViewId="0">
      <selection activeCell="A24" sqref="A24"/>
    </sheetView>
  </sheetViews>
  <sheetFormatPr defaultRowHeight="14.5" x14ac:dyDescent="0.35"/>
  <cols>
    <col min="1" max="1" width="29.453125" bestFit="1" customWidth="1"/>
    <col min="2" max="2" width="22.08984375" bestFit="1" customWidth="1"/>
  </cols>
  <sheetData>
    <row r="3" spans="1:2" x14ac:dyDescent="0.35">
      <c r="A3" s="1" t="s">
        <v>29</v>
      </c>
      <c r="B3" t="s">
        <v>31</v>
      </c>
    </row>
    <row r="4" spans="1:2" x14ac:dyDescent="0.35">
      <c r="A4" s="2" t="s">
        <v>26</v>
      </c>
      <c r="B4">
        <v>1221</v>
      </c>
    </row>
    <row r="5" spans="1:2" x14ac:dyDescent="0.35">
      <c r="A5" s="3" t="s">
        <v>16</v>
      </c>
      <c r="B5">
        <v>5</v>
      </c>
    </row>
    <row r="6" spans="1:2" x14ac:dyDescent="0.35">
      <c r="A6" s="3" t="s">
        <v>13</v>
      </c>
      <c r="B6">
        <v>248</v>
      </c>
    </row>
    <row r="7" spans="1:2" x14ac:dyDescent="0.35">
      <c r="A7" s="3" t="s">
        <v>11</v>
      </c>
      <c r="B7">
        <v>98</v>
      </c>
    </row>
    <row r="8" spans="1:2" x14ac:dyDescent="0.35">
      <c r="A8" s="3" t="s">
        <v>28</v>
      </c>
      <c r="B8">
        <v>276</v>
      </c>
    </row>
    <row r="9" spans="1:2" x14ac:dyDescent="0.35">
      <c r="A9" s="3" t="s">
        <v>6</v>
      </c>
      <c r="B9">
        <v>93</v>
      </c>
    </row>
    <row r="10" spans="1:2" x14ac:dyDescent="0.35">
      <c r="A10" s="3" t="s">
        <v>4</v>
      </c>
      <c r="B10">
        <v>37</v>
      </c>
    </row>
    <row r="11" spans="1:2" x14ac:dyDescent="0.35">
      <c r="A11" s="3" t="s">
        <v>7</v>
      </c>
      <c r="B11">
        <v>53</v>
      </c>
    </row>
    <row r="12" spans="1:2" x14ac:dyDescent="0.35">
      <c r="A12" s="3" t="s">
        <v>27</v>
      </c>
      <c r="B12">
        <v>379</v>
      </c>
    </row>
    <row r="13" spans="1:2" x14ac:dyDescent="0.35">
      <c r="A13" s="3" t="s">
        <v>10</v>
      </c>
      <c r="B13">
        <v>32</v>
      </c>
    </row>
    <row r="14" spans="1:2" x14ac:dyDescent="0.35">
      <c r="A14" s="2" t="s">
        <v>15</v>
      </c>
      <c r="B14">
        <v>109</v>
      </c>
    </row>
    <row r="15" spans="1:2" x14ac:dyDescent="0.35">
      <c r="A15" s="2" t="s">
        <v>19</v>
      </c>
      <c r="B15">
        <v>85</v>
      </c>
    </row>
    <row r="16" spans="1:2" x14ac:dyDescent="0.35">
      <c r="A16" s="2" t="s">
        <v>12</v>
      </c>
      <c r="B16">
        <v>56</v>
      </c>
    </row>
    <row r="17" spans="1:2" x14ac:dyDescent="0.35">
      <c r="A17" s="2" t="s">
        <v>5</v>
      </c>
      <c r="B17">
        <v>45</v>
      </c>
    </row>
    <row r="18" spans="1:2" x14ac:dyDescent="0.35">
      <c r="A18" s="2" t="s">
        <v>18</v>
      </c>
      <c r="B18">
        <v>35</v>
      </c>
    </row>
    <row r="19" spans="1:2" x14ac:dyDescent="0.35">
      <c r="A19" s="2" t="s">
        <v>25</v>
      </c>
      <c r="B19">
        <v>16</v>
      </c>
    </row>
    <row r="20" spans="1:2" x14ac:dyDescent="0.35">
      <c r="A20" s="2" t="s">
        <v>9</v>
      </c>
      <c r="B20">
        <v>6</v>
      </c>
    </row>
    <row r="21" spans="1:2" x14ac:dyDescent="0.35">
      <c r="A21" s="2" t="s">
        <v>24</v>
      </c>
      <c r="B21">
        <v>5</v>
      </c>
    </row>
    <row r="22" spans="1:2" x14ac:dyDescent="0.35">
      <c r="A22" s="2" t="s">
        <v>8</v>
      </c>
      <c r="B22">
        <v>2</v>
      </c>
    </row>
    <row r="23" spans="1:2" x14ac:dyDescent="0.35">
      <c r="A23" s="2" t="s">
        <v>14</v>
      </c>
      <c r="B23">
        <v>1</v>
      </c>
    </row>
    <row r="24" spans="1:2" x14ac:dyDescent="0.35">
      <c r="A24" s="2" t="s">
        <v>17</v>
      </c>
      <c r="B24">
        <v>1</v>
      </c>
    </row>
    <row r="25" spans="1:2" x14ac:dyDescent="0.35">
      <c r="A25" s="2" t="s">
        <v>30</v>
      </c>
      <c r="B25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E2107-E0E5-49D6-8E32-6F97CF8004DF}">
  <dimension ref="A3:B21"/>
  <sheetViews>
    <sheetView topLeftCell="A7" workbookViewId="0">
      <selection activeCell="A20" sqref="A20"/>
    </sheetView>
  </sheetViews>
  <sheetFormatPr defaultRowHeight="14.5" x14ac:dyDescent="0.35"/>
  <cols>
    <col min="1" max="1" width="26.36328125" bestFit="1" customWidth="1"/>
    <col min="2" max="2" width="22.08984375" bestFit="1" customWidth="1"/>
  </cols>
  <sheetData>
    <row r="3" spans="1:2" x14ac:dyDescent="0.35">
      <c r="A3" s="1" t="s">
        <v>29</v>
      </c>
      <c r="B3" t="s">
        <v>31</v>
      </c>
    </row>
    <row r="4" spans="1:2" x14ac:dyDescent="0.35">
      <c r="A4" s="2" t="s">
        <v>16</v>
      </c>
      <c r="B4">
        <v>15</v>
      </c>
    </row>
    <row r="5" spans="1:2" x14ac:dyDescent="0.35">
      <c r="A5" s="3" t="s">
        <v>15</v>
      </c>
      <c r="B5">
        <v>9</v>
      </c>
    </row>
    <row r="6" spans="1:2" x14ac:dyDescent="0.35">
      <c r="A6" s="3" t="s">
        <v>26</v>
      </c>
      <c r="B6">
        <v>5</v>
      </c>
    </row>
    <row r="7" spans="1:2" x14ac:dyDescent="0.35">
      <c r="A7" s="3" t="s">
        <v>25</v>
      </c>
      <c r="B7">
        <v>1</v>
      </c>
    </row>
    <row r="8" spans="1:2" x14ac:dyDescent="0.35">
      <c r="A8" s="2" t="s">
        <v>13</v>
      </c>
      <c r="B8">
        <v>290</v>
      </c>
    </row>
    <row r="9" spans="1:2" x14ac:dyDescent="0.35">
      <c r="A9" s="2" t="s">
        <v>11</v>
      </c>
      <c r="B9">
        <v>100</v>
      </c>
    </row>
    <row r="10" spans="1:2" x14ac:dyDescent="0.35">
      <c r="A10" s="2" t="s">
        <v>28</v>
      </c>
      <c r="B10">
        <v>283</v>
      </c>
    </row>
    <row r="11" spans="1:2" x14ac:dyDescent="0.35">
      <c r="A11" s="2" t="s">
        <v>6</v>
      </c>
      <c r="B11">
        <v>150</v>
      </c>
    </row>
    <row r="12" spans="1:2" x14ac:dyDescent="0.35">
      <c r="A12" s="2" t="s">
        <v>21</v>
      </c>
      <c r="B12">
        <v>4</v>
      </c>
    </row>
    <row r="13" spans="1:2" x14ac:dyDescent="0.35">
      <c r="A13" s="2" t="s">
        <v>23</v>
      </c>
      <c r="B13">
        <v>1</v>
      </c>
    </row>
    <row r="14" spans="1:2" x14ac:dyDescent="0.35">
      <c r="A14" s="2" t="s">
        <v>22</v>
      </c>
      <c r="B14">
        <v>47</v>
      </c>
    </row>
    <row r="15" spans="1:2" x14ac:dyDescent="0.35">
      <c r="A15" s="2" t="s">
        <v>3</v>
      </c>
      <c r="B15">
        <v>20</v>
      </c>
    </row>
    <row r="16" spans="1:2" x14ac:dyDescent="0.35">
      <c r="A16" s="2" t="s">
        <v>20</v>
      </c>
      <c r="B16">
        <v>8</v>
      </c>
    </row>
    <row r="17" spans="1:2" x14ac:dyDescent="0.35">
      <c r="A17" s="2" t="s">
        <v>4</v>
      </c>
      <c r="B17">
        <v>130</v>
      </c>
    </row>
    <row r="18" spans="1:2" x14ac:dyDescent="0.35">
      <c r="A18" s="2" t="s">
        <v>7</v>
      </c>
      <c r="B18">
        <v>90</v>
      </c>
    </row>
    <row r="19" spans="1:2" x14ac:dyDescent="0.35">
      <c r="A19" s="2" t="s">
        <v>27</v>
      </c>
      <c r="B19">
        <v>379</v>
      </c>
    </row>
    <row r="20" spans="1:2" x14ac:dyDescent="0.35">
      <c r="A20" s="2" t="s">
        <v>10</v>
      </c>
      <c r="B20">
        <v>65</v>
      </c>
    </row>
    <row r="21" spans="1:2" x14ac:dyDescent="0.35">
      <c r="A21" s="2" t="s">
        <v>30</v>
      </c>
      <c r="B21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opLeftCell="A46" workbookViewId="0">
      <selection activeCell="H54" sqref="H54"/>
    </sheetView>
  </sheetViews>
  <sheetFormatPr defaultRowHeight="14.5" x14ac:dyDescent="0.35"/>
  <cols>
    <col min="1" max="1" width="29.453125" bestFit="1" customWidth="1"/>
    <col min="2" max="2" width="26.1796875" bestFit="1" customWidth="1"/>
    <col min="3" max="3" width="17.3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33</v>
      </c>
    </row>
    <row r="2" spans="1:4" x14ac:dyDescent="0.35">
      <c r="A2" t="s">
        <v>5</v>
      </c>
      <c r="B2" t="s">
        <v>6</v>
      </c>
      <c r="C2">
        <v>21</v>
      </c>
    </row>
    <row r="3" spans="1:4" x14ac:dyDescent="0.35">
      <c r="A3" t="s">
        <v>5</v>
      </c>
      <c r="B3" t="s">
        <v>7</v>
      </c>
      <c r="C3">
        <v>1</v>
      </c>
    </row>
    <row r="4" spans="1:4" x14ac:dyDescent="0.35">
      <c r="A4" t="s">
        <v>5</v>
      </c>
      <c r="B4" t="s">
        <v>4</v>
      </c>
      <c r="C4">
        <v>23</v>
      </c>
    </row>
    <row r="5" spans="1:4" x14ac:dyDescent="0.35">
      <c r="A5" t="s">
        <v>8</v>
      </c>
      <c r="B5" t="s">
        <v>4</v>
      </c>
      <c r="C5">
        <v>2</v>
      </c>
    </row>
    <row r="6" spans="1:4" x14ac:dyDescent="0.35">
      <c r="A6" t="s">
        <v>9</v>
      </c>
      <c r="B6" t="s">
        <v>6</v>
      </c>
      <c r="C6">
        <v>3</v>
      </c>
    </row>
    <row r="7" spans="1:4" x14ac:dyDescent="0.35">
      <c r="A7" t="s">
        <v>9</v>
      </c>
      <c r="B7" t="s">
        <v>10</v>
      </c>
      <c r="C7">
        <v>2</v>
      </c>
    </row>
    <row r="8" spans="1:4" x14ac:dyDescent="0.35">
      <c r="A8" t="s">
        <v>9</v>
      </c>
      <c r="B8" t="s">
        <v>11</v>
      </c>
      <c r="C8">
        <v>1</v>
      </c>
    </row>
    <row r="9" spans="1:4" x14ac:dyDescent="0.35">
      <c r="A9" t="s">
        <v>12</v>
      </c>
      <c r="B9" t="s">
        <v>10</v>
      </c>
      <c r="C9">
        <v>2</v>
      </c>
    </row>
    <row r="10" spans="1:4" x14ac:dyDescent="0.35">
      <c r="A10" t="s">
        <v>12</v>
      </c>
      <c r="B10" t="s">
        <v>13</v>
      </c>
      <c r="C10">
        <v>42</v>
      </c>
    </row>
    <row r="11" spans="1:4" x14ac:dyDescent="0.35">
      <c r="A11" t="s">
        <v>12</v>
      </c>
      <c r="B11" t="s">
        <v>7</v>
      </c>
      <c r="C11">
        <v>1</v>
      </c>
    </row>
    <row r="12" spans="1:4" x14ac:dyDescent="0.35">
      <c r="A12" t="s">
        <v>12</v>
      </c>
      <c r="B12" t="s">
        <v>4</v>
      </c>
      <c r="C12">
        <v>11</v>
      </c>
    </row>
    <row r="13" spans="1:4" x14ac:dyDescent="0.35">
      <c r="A13" t="s">
        <v>14</v>
      </c>
      <c r="B13" t="s">
        <v>7</v>
      </c>
      <c r="C13">
        <v>1</v>
      </c>
    </row>
    <row r="14" spans="1:4" x14ac:dyDescent="0.35">
      <c r="A14" t="s">
        <v>15</v>
      </c>
      <c r="B14" t="s">
        <v>16</v>
      </c>
      <c r="C14">
        <v>9</v>
      </c>
    </row>
    <row r="15" spans="1:4" x14ac:dyDescent="0.35">
      <c r="A15" t="s">
        <v>15</v>
      </c>
      <c r="B15" t="s">
        <v>7</v>
      </c>
      <c r="C15">
        <v>27</v>
      </c>
    </row>
    <row r="16" spans="1:4" x14ac:dyDescent="0.35">
      <c r="A16" t="s">
        <v>15</v>
      </c>
      <c r="B16" t="s">
        <v>6</v>
      </c>
      <c r="C16">
        <v>24</v>
      </c>
    </row>
    <row r="17" spans="1:3" x14ac:dyDescent="0.35">
      <c r="A17" t="s">
        <v>15</v>
      </c>
      <c r="B17" t="s">
        <v>10</v>
      </c>
      <c r="C17">
        <v>1</v>
      </c>
    </row>
    <row r="18" spans="1:3" x14ac:dyDescent="0.35">
      <c r="A18" t="s">
        <v>15</v>
      </c>
      <c r="B18" t="s">
        <v>4</v>
      </c>
      <c r="C18">
        <v>48</v>
      </c>
    </row>
    <row r="19" spans="1:3" x14ac:dyDescent="0.35">
      <c r="A19" t="s">
        <v>17</v>
      </c>
      <c r="B19" t="s">
        <v>10</v>
      </c>
      <c r="C19">
        <v>1</v>
      </c>
    </row>
    <row r="20" spans="1:3" x14ac:dyDescent="0.35">
      <c r="A20" t="s">
        <v>18</v>
      </c>
      <c r="B20" t="s">
        <v>4</v>
      </c>
      <c r="C20">
        <v>6</v>
      </c>
    </row>
    <row r="21" spans="1:3" x14ac:dyDescent="0.35">
      <c r="A21" t="s">
        <v>18</v>
      </c>
      <c r="B21" t="s">
        <v>6</v>
      </c>
      <c r="C21">
        <v>5</v>
      </c>
    </row>
    <row r="22" spans="1:3" x14ac:dyDescent="0.35">
      <c r="A22" t="s">
        <v>18</v>
      </c>
      <c r="B22" t="s">
        <v>7</v>
      </c>
      <c r="C22">
        <v>2</v>
      </c>
    </row>
    <row r="23" spans="1:3" x14ac:dyDescent="0.35">
      <c r="A23" t="s">
        <v>18</v>
      </c>
      <c r="B23" t="s">
        <v>10</v>
      </c>
      <c r="C23">
        <v>15</v>
      </c>
    </row>
    <row r="24" spans="1:3" x14ac:dyDescent="0.35">
      <c r="A24" t="s">
        <v>18</v>
      </c>
      <c r="B24" t="s">
        <v>28</v>
      </c>
      <c r="C24">
        <v>7</v>
      </c>
    </row>
    <row r="25" spans="1:3" x14ac:dyDescent="0.35">
      <c r="A25" t="s">
        <v>19</v>
      </c>
      <c r="B25" t="s">
        <v>3</v>
      </c>
      <c r="C25">
        <v>20</v>
      </c>
    </row>
    <row r="26" spans="1:3" x14ac:dyDescent="0.35">
      <c r="A26" t="s">
        <v>19</v>
      </c>
      <c r="B26" t="s">
        <v>4</v>
      </c>
      <c r="C26">
        <v>1</v>
      </c>
    </row>
    <row r="27" spans="1:3" x14ac:dyDescent="0.35">
      <c r="A27" t="s">
        <v>19</v>
      </c>
      <c r="B27" t="s">
        <v>11</v>
      </c>
      <c r="C27">
        <v>1</v>
      </c>
    </row>
    <row r="28" spans="1:3" x14ac:dyDescent="0.35">
      <c r="A28" t="s">
        <v>19</v>
      </c>
      <c r="B28" t="s">
        <v>6</v>
      </c>
      <c r="C28">
        <v>3</v>
      </c>
    </row>
    <row r="29" spans="1:3" x14ac:dyDescent="0.35">
      <c r="A29" t="s">
        <v>19</v>
      </c>
      <c r="B29" t="s">
        <v>7</v>
      </c>
      <c r="C29">
        <v>1</v>
      </c>
    </row>
    <row r="30" spans="1:3" x14ac:dyDescent="0.35">
      <c r="A30" t="s">
        <v>19</v>
      </c>
      <c r="B30" t="s">
        <v>20</v>
      </c>
      <c r="C30">
        <v>8</v>
      </c>
    </row>
    <row r="31" spans="1:3" x14ac:dyDescent="0.35">
      <c r="A31" t="s">
        <v>19</v>
      </c>
      <c r="B31" t="s">
        <v>21</v>
      </c>
      <c r="C31">
        <v>4</v>
      </c>
    </row>
    <row r="32" spans="1:3" x14ac:dyDescent="0.35">
      <c r="A32" t="s">
        <v>19</v>
      </c>
      <c r="B32" t="s">
        <v>22</v>
      </c>
      <c r="C32">
        <v>46</v>
      </c>
    </row>
    <row r="33" spans="1:3" x14ac:dyDescent="0.35">
      <c r="A33" t="s">
        <v>19</v>
      </c>
      <c r="B33" t="s">
        <v>23</v>
      </c>
      <c r="C33">
        <v>1</v>
      </c>
    </row>
    <row r="34" spans="1:3" x14ac:dyDescent="0.35">
      <c r="A34" t="s">
        <v>24</v>
      </c>
      <c r="B34" t="s">
        <v>22</v>
      </c>
      <c r="C34">
        <v>1</v>
      </c>
    </row>
    <row r="35" spans="1:3" x14ac:dyDescent="0.35">
      <c r="A35" t="s">
        <v>24</v>
      </c>
      <c r="B35" t="s">
        <v>10</v>
      </c>
      <c r="C35">
        <v>1</v>
      </c>
    </row>
    <row r="36" spans="1:3" x14ac:dyDescent="0.35">
      <c r="A36" t="s">
        <v>24</v>
      </c>
      <c r="B36" t="s">
        <v>7</v>
      </c>
      <c r="C36">
        <v>1</v>
      </c>
    </row>
    <row r="37" spans="1:3" x14ac:dyDescent="0.35">
      <c r="A37" t="s">
        <v>24</v>
      </c>
      <c r="B37" t="s">
        <v>4</v>
      </c>
      <c r="C37">
        <v>2</v>
      </c>
    </row>
    <row r="38" spans="1:3" x14ac:dyDescent="0.35">
      <c r="A38" t="s">
        <v>25</v>
      </c>
      <c r="B38" t="s">
        <v>6</v>
      </c>
      <c r="C38">
        <v>1</v>
      </c>
    </row>
    <row r="39" spans="1:3" x14ac:dyDescent="0.35">
      <c r="A39" t="s">
        <v>25</v>
      </c>
      <c r="B39" t="s">
        <v>16</v>
      </c>
      <c r="C39">
        <v>1</v>
      </c>
    </row>
    <row r="40" spans="1:3" x14ac:dyDescent="0.35">
      <c r="A40" t="s">
        <v>25</v>
      </c>
      <c r="B40" t="s">
        <v>10</v>
      </c>
      <c r="C40">
        <v>11</v>
      </c>
    </row>
    <row r="41" spans="1:3" x14ac:dyDescent="0.35">
      <c r="A41" t="s">
        <v>25</v>
      </c>
      <c r="B41" t="s">
        <v>7</v>
      </c>
      <c r="C41">
        <v>3</v>
      </c>
    </row>
    <row r="42" spans="1:3" x14ac:dyDescent="0.35">
      <c r="A42" t="s">
        <v>26</v>
      </c>
      <c r="B42" t="s">
        <v>6</v>
      </c>
      <c r="C42">
        <v>93</v>
      </c>
    </row>
    <row r="43" spans="1:3" x14ac:dyDescent="0.35">
      <c r="A43" t="s">
        <v>26</v>
      </c>
      <c r="B43" t="s">
        <v>13</v>
      </c>
      <c r="C43">
        <v>248</v>
      </c>
    </row>
    <row r="44" spans="1:3" x14ac:dyDescent="0.35">
      <c r="A44" t="s">
        <v>26</v>
      </c>
      <c r="B44" t="s">
        <v>27</v>
      </c>
      <c r="C44">
        <v>379</v>
      </c>
    </row>
    <row r="45" spans="1:3" x14ac:dyDescent="0.35">
      <c r="A45" t="s">
        <v>26</v>
      </c>
      <c r="B45" t="s">
        <v>7</v>
      </c>
      <c r="C45">
        <v>53</v>
      </c>
    </row>
    <row r="46" spans="1:3" x14ac:dyDescent="0.35">
      <c r="A46" t="s">
        <v>26</v>
      </c>
      <c r="B46" t="s">
        <v>10</v>
      </c>
      <c r="C46">
        <v>32</v>
      </c>
    </row>
    <row r="47" spans="1:3" x14ac:dyDescent="0.35">
      <c r="A47" t="s">
        <v>26</v>
      </c>
      <c r="B47" t="s">
        <v>11</v>
      </c>
      <c r="C47">
        <v>98</v>
      </c>
    </row>
    <row r="48" spans="1:3" x14ac:dyDescent="0.35">
      <c r="A48" t="s">
        <v>26</v>
      </c>
      <c r="B48" t="s">
        <v>28</v>
      </c>
      <c r="C48">
        <v>276</v>
      </c>
    </row>
    <row r="49" spans="1:4" x14ac:dyDescent="0.35">
      <c r="A49" t="s">
        <v>26</v>
      </c>
      <c r="B49" t="s">
        <v>16</v>
      </c>
      <c r="C49">
        <v>5</v>
      </c>
    </row>
    <row r="50" spans="1:4" x14ac:dyDescent="0.35">
      <c r="A50" t="s">
        <v>26</v>
      </c>
      <c r="B50" t="s">
        <v>4</v>
      </c>
      <c r="C50">
        <v>37</v>
      </c>
    </row>
    <row r="51" spans="1:4" x14ac:dyDescent="0.35">
      <c r="C51">
        <f>SUBTOTAL(109,Table1[Equipment Count])</f>
        <v>1582</v>
      </c>
      <c r="D51" t="s">
        <v>32</v>
      </c>
    </row>
    <row r="52" spans="1:4" x14ac:dyDescent="0.35">
      <c r="C52">
        <f>AVERAGE(C2:D50)</f>
        <v>32.285714285714285</v>
      </c>
      <c r="D52" t="s">
        <v>34</v>
      </c>
    </row>
    <row r="53" spans="1:4" x14ac:dyDescent="0.35">
      <c r="C53">
        <f>MIN(Table1[Equipment Count])</f>
        <v>1</v>
      </c>
      <c r="D53" t="s">
        <v>35</v>
      </c>
    </row>
    <row r="54" spans="1:4" x14ac:dyDescent="0.35">
      <c r="C54">
        <f>MAX(Table1[Equipment Count])</f>
        <v>379</v>
      </c>
      <c r="D54" t="s">
        <v>36</v>
      </c>
    </row>
    <row r="55" spans="1:4" x14ac:dyDescent="0.35">
      <c r="C55">
        <f>COUNT(C2:C50)</f>
        <v>49</v>
      </c>
      <c r="D55" t="s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PIVOT1</vt:lpstr>
      <vt:lpstr>PIVOT2</vt:lpstr>
      <vt:lpstr>PIVOT3</vt:lpstr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Chinelo Lydia</cp:lastModifiedBy>
  <dcterms:created xsi:type="dcterms:W3CDTF">2020-09-01T17:18:12Z</dcterms:created>
  <dcterms:modified xsi:type="dcterms:W3CDTF">2025-03-10T14:37:45Z</dcterms:modified>
</cp:coreProperties>
</file>